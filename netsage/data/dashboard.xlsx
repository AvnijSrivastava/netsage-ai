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awData" sheetId="1" state="visible" r:id="rId3"/>
    <sheet name="Summary"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<sst xmlns="http://schemas.openxmlformats.org/spreadsheetml/2006/main" count="428" uniqueCount="212">
  <si>
    <t xml:space="preserve">case_id</t>
  </si>
  <si>
    <t xml:space="preserve">category</t>
  </si>
  <si>
    <t xml:space="preserve">severity</t>
  </si>
  <si>
    <t xml:space="preserve">osi_layer</t>
  </si>
  <si>
    <t xml:space="preserve">concept_tag</t>
  </si>
  <si>
    <t xml:space="preserve">expected_fault</t>
  </si>
  <si>
    <t xml:space="preserve">ai_root_cause</t>
  </si>
  <si>
    <t xml:space="preserve">ai_confidence</t>
  </si>
  <si>
    <t xml:space="preserve">ai_concept_tag</t>
  </si>
  <si>
    <t xml:space="preserve">concept_tag_match</t>
  </si>
  <si>
    <t xml:space="preserve">rule_checker_findings</t>
  </si>
  <si>
    <t xml:space="preserve">rule_checker_hits</t>
  </si>
  <si>
    <t xml:space="preserve">reviewer_status</t>
  </si>
  <si>
    <t xml:space="preserve">reviewer_notes</t>
  </si>
  <si>
    <t xml:space="preserve">C001</t>
  </si>
  <si>
    <t xml:space="preserve">VLAN</t>
  </si>
  <si>
    <t xml:space="preserve">High</t>
  </si>
  <si>
    <t xml:space="preserve">Layer 2</t>
  </si>
  <si>
    <t xml:space="preserve">vlan_port_assignment</t>
  </si>
  <si>
    <t xml:space="preserve">PC-B's port (Fa0/4) is assigned to VLAN 20 instead of VLAN 10, so the two PCs are on different broadcast domains despite matching IP subnet.</t>
  </si>
  <si>
    <t xml:space="preserve">Port Fa0/4 is assigned to VLAN 20 instead of VLAN 10, separating PC-B from PC-A at Layer 2.</t>
  </si>
  <si>
    <t xml:space="preserve">high</t>
  </si>
  <si>
    <t xml:space="preserve">Yes</t>
  </si>
  <si>
    <t xml:space="preserve">NO_DETERMINISTIC_MATCH</t>
  </si>
  <si>
    <t xml:space="preserve">Accepted</t>
  </si>
  <si>
    <t xml:space="preserve">Matches expected fault exactly; evidence correctly cited.</t>
  </si>
  <si>
    <t xml:space="preserve">C002</t>
  </si>
  <si>
    <t xml:space="preserve">Medium</t>
  </si>
  <si>
    <t xml:space="preserve">Fa0/8 is still assigned to VLAN 999, an unused/orphan VLAN left from the printer configuration, instead of the correct data VLAN.</t>
  </si>
  <si>
    <t xml:space="preserve">Fa0/8 is left in orphan VLAN 999 from its previous use as a printer port.</t>
  </si>
  <si>
    <t xml:space="preserve">SUSPECT_VLAN_ASSIGNMENT: port is in VLAN 999, which is commonly an unused/default VLAN in these labs</t>
  </si>
  <si>
    <t xml:space="preserve">Correct diagnosis and fix.</t>
  </si>
  <si>
    <t xml:space="preserve">C003</t>
  </si>
  <si>
    <t xml:space="preserve">trunk_allowed_vlans</t>
  </si>
  <si>
    <t xml:space="preserve">VLAN 30 is explicitly excluded from the allowed-VLAN list on the Gi0/1 trunk (pruned), so VLAN 30 traffic never crosses the trunk to SW1.</t>
  </si>
  <si>
    <t xml:space="preserve">VLAN 30 is pruned from the allowed-VLAN list on the SW3-SW1 trunk (Gi0/1).</t>
  </si>
  <si>
    <t xml:space="preserve">Correctly identified trunk pruning as the cause.</t>
  </si>
  <si>
    <t xml:space="preserve">C004</t>
  </si>
  <si>
    <t xml:space="preserve">Low</t>
  </si>
  <si>
    <t xml:space="preserve">native_vlan_mismatch</t>
  </si>
  <si>
    <t xml:space="preserve">Native VLAN mismatch: SW1 uses native VLAN 1 while SW2 uses native VLAN 40 on the same trunk, causing a VLAN mismatch/CDP warning and untagged VLAN 40 frames to be misclassified.</t>
  </si>
  <si>
    <t xml:space="preserve">The Gi0/2/Gi0/1 trunk is not forwarding VLAN 40 traffic because the allowed-VLAN list on one side excludes it.</t>
  </si>
  <si>
    <t xml:space="preserve">medium</t>
  </si>
  <si>
    <t xml:space="preserve">No</t>
  </si>
  <si>
    <t xml:space="preserve">Edited</t>
  </si>
  <si>
    <t xml:space="preserve">AI guessed generic 'trunk not forwarding VLAN 40' without noticing the native VLAN mismatch (1 vs 40) visible in the two 'show interfaces trunk' outputs. Corrected to native VLAN mismatch.</t>
  </si>
  <si>
    <t xml:space="preserve">C005</t>
  </si>
  <si>
    <t xml:space="preserve">Gateway</t>
  </si>
  <si>
    <t xml:space="preserve">Layer 3</t>
  </si>
  <si>
    <t xml:space="preserve">gateway_mismatch</t>
  </si>
  <si>
    <t xml:space="preserve">DHCP pool is handing out the wrong default-gateway (192.168.10.254) which does not exist on the network; the router's actual sub-interface address is 192.168.10.1.</t>
  </si>
  <si>
    <t xml:space="preserve">DHCP pool VLAN10 hands out default-gateway 192.168.10.254, which does not match the router's real interface IP.</t>
  </si>
  <si>
    <t xml:space="preserve">GATEWAY_MISMATCH: PC default gateway 192.168.10.254 does not match any router interface IP found (192.168.10.1)</t>
  </si>
  <si>
    <t xml:space="preserve">Correct root cause, evidence, and fix.</t>
  </si>
  <si>
    <t xml:space="preserve">C006</t>
  </si>
  <si>
    <t xml:space="preserve">wrong_subnet_mask</t>
  </si>
  <si>
    <t xml:space="preserve">PC-D's subnet mask (/24) does not match the router interface's actual /25 network, so PC-D miscalculates which addresses are local vs. remote and mishandles off-subnet traffic despite the gateway IP being correct.</t>
  </si>
  <si>
    <t xml:space="preserve">PC-D's subnet mask (/24) does not match the router interface's actual /25 network, causing incorrect local/remote traffic classification.</t>
  </si>
  <si>
    <t xml:space="preserve">Correctly linked the mask mismatch to the topology note.</t>
  </si>
  <si>
    <t xml:space="preserve">C007</t>
  </si>
  <si>
    <t xml:space="preserve">interface_shutdown</t>
  </si>
  <si>
    <t xml:space="preserve">The VLAN 20 sub-interface was left administratively shut down (likely not saved with 'no shutdown' before reload), so it is down and cannot route for that VLAN.</t>
  </si>
  <si>
    <t xml:space="preserve">VLAN 20 sub-interface Gi0/0.20 is administratively down, likely because 'no shutdown' was never saved before the reload.</t>
  </si>
  <si>
    <t xml:space="preserve">INTERFACE_DOWN: GigabitEthernet0/0.20 is administratively down</t>
  </si>
  <si>
    <t xml:space="preserve">Correct and matches rule_checker INTERFACE_DOWN finding.</t>
  </si>
  <si>
    <t xml:space="preserve">C008</t>
  </si>
  <si>
    <t xml:space="preserve">duplicate_ip</t>
  </si>
  <si>
    <t xml:space="preserve">Duplicate IP address 192.168.30.50 assigned to two different MAC addresses causes ARP flapping and intermittent loss of connectivity for both hosts.</t>
  </si>
  <si>
    <t xml:space="preserve">The gateway interface for VLAN 30 appears to be flapping under load, causing intermittent ARP table churn.</t>
  </si>
  <si>
    <t xml:space="preserve">interface_instability</t>
  </si>
  <si>
    <t xml:space="preserve">DUPLICATE_IP: 192.168.30.50 claimed by 2 different MAC addresses (00E0.5678.BBBB, 00E0.1234.AAAA)</t>
  </si>
  <si>
    <t xml:space="preserve">Rejected</t>
  </si>
  <si>
    <t xml:space="preserve">AI invented 'gateway interface flapping under load' with no supporting evidence. The ARP table clearly shows one IP mapped to two different MACs, which is a duplicate IP condition — also independently caught by rule_checker.py (DUPLICATE_IP finding). AI ignored the actual evidence pattern.</t>
  </si>
  <si>
    <t xml:space="preserve">C009</t>
  </si>
  <si>
    <t xml:space="preserve">DHCP</t>
  </si>
  <si>
    <t xml:space="preserve">dhcp_pool_exhausted</t>
  </si>
  <si>
    <t xml:space="preserve">DHCP pool VLAN10 has zero usable addresses because the excluded-address range covers the entire pool (or the pool was never given a real range), so the client fails to lease an address and self-assigns APIPA.</t>
  </si>
  <si>
    <t xml:space="preserve">DHCP pool VLAN10 has an exclude-address range or misconfigured network statement that leaves zero usable addresses.</t>
  </si>
  <si>
    <t xml:space="preserve">Correct; matches expected fault on pool exhaustion.</t>
  </si>
  <si>
    <t xml:space="preserve">C010</t>
  </si>
  <si>
    <t xml:space="preserve">dhcp_relay_misconfig</t>
  </si>
  <si>
    <t xml:space="preserve">The ip helper-address on the VLAN 20 sub-interface points to the wrong DHCP server/pool scope (192.168.10.5, a VLAN 10 host), forwarding VLAN 20 DHCP requests into the VLAN 10 pool.</t>
  </si>
  <si>
    <t xml:space="preserve">The ip helper-address on the VLAN 20 sub-interface points to 192.168.10.5, a VLAN 10 host, forwarding DHCP requests to the wrong scope.</t>
  </si>
  <si>
    <t xml:space="preserve">Correct; ip helper-address misconfiguration properly identified.</t>
  </si>
  <si>
    <t xml:space="preserve">C011</t>
  </si>
  <si>
    <t xml:space="preserve">Layer 7</t>
  </si>
  <si>
    <t xml:space="preserve">dhcp_missing_dns_option</t>
  </si>
  <si>
    <t xml:space="preserve">The DHCP pool VLAN10 has no 'dns-server' statement configured, so clients receive no DNS server address and cannot resolve names even though IP connectivity works.</t>
  </si>
  <si>
    <t xml:space="preserve">DHCP pool VLAN10 is missing a dns-server statement, so clients get no DNS server even though IP/gateway work.</t>
  </si>
  <si>
    <t xml:space="preserve">Correct; DHCP pool missing dns-server line, matches expected fault.</t>
  </si>
  <si>
    <t xml:space="preserve">C012</t>
  </si>
  <si>
    <t xml:space="preserve">dhcp_pool_mask_mismatch</t>
  </si>
  <si>
    <t xml:space="preserve">The DHCP pool's network statement uses mask 255.255.255.240 (/28, only 14 usable hosts) instead of matching the actual /24 subnet, artificially shrinking the address pool and causing exhaustion/conflicts.</t>
  </si>
  <si>
    <t xml:space="preserve">DHCP demand is simply exceeding the pool as VLAN 30 grows; recommend increasing lease time or adding a second pool.</t>
  </si>
  <si>
    <t xml:space="preserve">low</t>
  </si>
  <si>
    <t xml:space="preserve">dhcp_capacity_planning</t>
  </si>
  <si>
    <t xml:space="preserve">AI defaulted to a vague 'demand exceeding pool, add lease time' answer at low confidence instead of reading the actual pool mask (255.255.255.240) in the show output. The mask override is the real, evidenced cause.</t>
  </si>
  <si>
    <t xml:space="preserve">C013</t>
  </si>
  <si>
    <t xml:space="preserve">DNS</t>
  </si>
  <si>
    <t xml:space="preserve">missing_dns_record</t>
  </si>
  <si>
    <t xml:space="preserve">The A record for intranet.local was never created (or was created with a typo) on the DNS server, so the name simply does not exist in the zone, even though the DNS server itself is reachable.</t>
  </si>
  <si>
    <t xml:space="preserve">The DNS A record for intranet.local does not exist in the zone, or contains a typo.</t>
  </si>
  <si>
    <t xml:space="preserve">Correct; matches expected fault on missing DNS record.</t>
  </si>
  <si>
    <t xml:space="preserve">C014</t>
  </si>
  <si>
    <t xml:space="preserve">dns_server_unreachable</t>
  </si>
  <si>
    <t xml:space="preserve">The DNS server host (192.168.10.5) itself is unreachable (likely powered off, wrong VLAN, or an ACL blocking it), so no DNS queries can be answered even though the gateway is fine.</t>
  </si>
  <si>
    <t xml:space="preserve">The DNS server host at 192.168.10.5 is unreachable at the network layer, so no queries can be answered.</t>
  </si>
  <si>
    <t xml:space="preserve">Correct; matches expected fault on DNS server unreachable.</t>
  </si>
  <si>
    <t xml:space="preserve">C015</t>
  </si>
  <si>
    <t xml:space="preserve">dns_server_misconfig</t>
  </si>
  <si>
    <t xml:space="preserve">The primary DNS server (192.168.10.99) does not exist on the network, so every lookup times out on the primary before falling back to the working secondary (203.0.113.5), adding delay to every resolution.</t>
  </si>
  <si>
    <t xml:space="preserve">The primary DNS server (192.168.10.99) does not exist on the network, forcing every lookup to time out before falling back to the working secondary.</t>
  </si>
  <si>
    <t xml:space="preserve">Correct; matches expected fault on invalid primary DNS server.</t>
  </si>
  <si>
    <t xml:space="preserve">C016</t>
  </si>
  <si>
    <t xml:space="preserve">stale_dns_record</t>
  </si>
  <si>
    <t xml:space="preserve">The A record for www.company.com still points to the old/test server IP (192.168.10.50) instead of the new production server IP; the record was never updated after migration.</t>
  </si>
  <si>
    <t xml:space="preserve">The A record for www.company.com still points to the old test server IP (192.168.10.50) after migration.</t>
  </si>
  <si>
    <t xml:space="preserve">Correct; matches expected fault on stale DNS record.</t>
  </si>
  <si>
    <t xml:space="preserve">C017</t>
  </si>
  <si>
    <t xml:space="preserve">Routing</t>
  </si>
  <si>
    <t xml:space="preserve">missing_static_route</t>
  </si>
  <si>
    <t xml:space="preserve">There is no static route (or default route) on R1 pointing toward 172.16.0.0/16 via R2 (10.0.0.2); the route is simply missing from the routing table.</t>
  </si>
  <si>
    <t xml:space="preserve">R1 has no static or default route toward 172.16.0.0/16 via R2.</t>
  </si>
  <si>
    <t xml:space="preserve">MISSING_ROUTE: routing table shows only directly connected networks; no static/dynamic route present for the destination referenced in the symptom</t>
  </si>
  <si>
    <t xml:space="preserve">Correct; matches expected fault and rule_checker MISSING_ROUTE finding.</t>
  </si>
  <si>
    <t xml:space="preserve">C018</t>
  </si>
  <si>
    <t xml:space="preserve">ospf_area_mismatch</t>
  </si>
  <si>
    <t xml:space="preserve">R1 and R3 are configured for mismatched OSPF areas on the same link (area 0 vs. area 1), which prevents adjacency from forming.</t>
  </si>
  <si>
    <t xml:space="preserve">R1 and R3 are configured with mismatched OSPF areas (area 0 vs. area 1) on the same link, preventing adjacency.</t>
  </si>
  <si>
    <t xml:space="preserve">Correct; OSPF area mismatch clearly evidenced and correctly diagnosed.</t>
  </si>
  <si>
    <t xml:space="preserve">C019</t>
  </si>
  <si>
    <t xml:space="preserve">wrong_next_hop</t>
  </si>
  <si>
    <t xml:space="preserve">The static route for 192.168.50.0/24 points to next-hop 10.0.0.5, which is unreachable (wrong or outdated next-hop after a network change), so packets are black-holed.</t>
  </si>
  <si>
    <t xml:space="preserve">The static route to 192.168.50.0/24 uses next-hop 10.0.0.5, which is unreachable, black-holing return traffic.</t>
  </si>
  <si>
    <t xml:space="preserve">Correct; wrong next-hop correctly identified from the unreachable next-hop ping.</t>
  </si>
  <si>
    <t xml:space="preserve">C020</t>
  </si>
  <si>
    <t xml:space="preserve">eigrp_metric_tuning</t>
  </si>
  <si>
    <t xml:space="preserve">Two feasible successors with identical feasible distance (28160/28160) indicate an unintended routing loop condition caused by symmetric link metrics that were not tuned, rather than proper redundancy; combined with mismatched hold-down timers this produces intermittent loss.</t>
  </si>
  <si>
    <t xml:space="preserve">R4 and R5 are load-balancing across two equal-cost paths to 192.168.60.0/24; this is expected EIGRP unequal/equal-cost behavior, not a fault.</t>
  </si>
  <si>
    <t xml:space="preserve">eigrp_equal_cost_load_balance</t>
  </si>
  <si>
    <t xml:space="preserve">AI concluded 'expected load balancing, no fault' at medium confidence, but this ignores the known lab scenario of an unintended routing loop risk from identical FD/AD without metric tuning. Reviewer determined this needed escalation, not dismissal, given intermittent loss was already reported in the symptom.</t>
  </si>
  <si>
    <t xml:space="preserve">C021</t>
  </si>
  <si>
    <t xml:space="preserve">ACL</t>
  </si>
  <si>
    <t xml:space="preserve">Layer 3/4</t>
  </si>
  <si>
    <t xml:space="preserve">acl_deny_rule</t>
  </si>
  <si>
    <t xml:space="preserve">ACL 'BLOCK_VLAN30' explicitly denies traffic from VLAN 30 to VLAN 10's subnet and is applied outbound on the VLAN 30 sub-interface, blocking the file server traffic as designed but likely broader than intended.</t>
  </si>
  <si>
    <t xml:space="preserve">ACL BLOCK_VLAN30 explicitly denies VLAN 30-to-VLAN 10 traffic and is applied outbound on the VLAN 30 sub-interface, blocking the file server as configured.</t>
  </si>
  <si>
    <t xml:space="preserve">ACL_IMPLICIT_DENY_RISK: ACL has permit statement(s) with no visible catch-all rule; traffic not matching a permit will silently hit the implicit 'deny ip any any'</t>
  </si>
  <si>
    <t xml:space="preserve">AI correctly read the ACL as intentional but flagged it for confirmation with the requester, which is the right call given the deny may be broader than intended.</t>
  </si>
  <si>
    <t xml:space="preserve">C022</t>
  </si>
  <si>
    <t xml:space="preserve">Layer 4</t>
  </si>
  <si>
    <t xml:space="preserve">acl_missing_permit</t>
  </si>
  <si>
    <t xml:space="preserve">The ACL only permits TCP ports 80 and 443 to the server and has an implicit/explicit deny-all after; port 22 (SSH) was never added, so SSH is correctly but unintentionally blocked.</t>
  </si>
  <si>
    <t xml:space="preserve">ACL SERVER_ACCESS only permits TCP 80/443 to the server; port 22 (SSH) was never added, so it falls through to the deny-all.</t>
  </si>
  <si>
    <t xml:space="preserve">Correct; ACL missing SSH permit line correctly identified.</t>
  </si>
  <si>
    <t xml:space="preserve">C023</t>
  </si>
  <si>
    <t xml:space="preserve">acl_implicit_deny</t>
  </si>
  <si>
    <t xml:space="preserve">The ACL has only one explicit permit line with no other permits and relies on the implicit 'deny ip any any' at the end of every Cisco ACL, which blocks all traffic that isn't SSH from 10.0.0.10 — the ACL is missing required permit statements for other legitimate traffic.</t>
  </si>
  <si>
    <t xml:space="preserve">ACL MGMT_ONLY only has one permit line for SSH from 10.0.0.10; everything else silently hits the implicit deny ip any any.</t>
  </si>
  <si>
    <t xml:space="preserve">Correct; implicit-deny trap correctly identified, matches rule_checker ACL_IMPLICIT_DENY_RISK finding.</t>
  </si>
  <si>
    <t xml:space="preserve">C024</t>
  </si>
  <si>
    <t xml:space="preserve">missing_isolation_acl</t>
  </si>
  <si>
    <t xml:space="preserve">No ACL is applied to the guest VLAN 50 sub-interface at all, so there is nothing enforcing isolation between the guest network and internal subnets — a security gap, not a connectivity bug.</t>
  </si>
  <si>
    <t xml:space="preserve">Guest VLAN 50 devices are not properly isolated at Layer 2; the switchport configuration needs to be checked for VLAN leakage.</t>
  </si>
  <si>
    <t xml:space="preserve">vlan_leakage</t>
  </si>
  <si>
    <t xml:space="preserve">AI defaulted to a Layer 2 'VLAN leakage' guess with explicitly low confidence and NO supporting evidence, when the actual provided evidence ('Outgoing access list is not set') directly shows the real Layer 3 gap: no ACL exists at all. This is a case of the AI inventing a plausible-sounding cause instead of reading the evidence it was given.</t>
  </si>
  <si>
    <t xml:space="preserve">C025</t>
  </si>
  <si>
    <t xml:space="preserve">NAT</t>
  </si>
  <si>
    <t xml:space="preserve">nat_outside_missing</t>
  </si>
  <si>
    <t xml:space="preserve">The 'ip nat outside' command was never applied to the ISP-facing interface (Gi0/1), so NAT never triggers for outbound traffic even though the inside interface and NAT rule are correctly configured.</t>
  </si>
  <si>
    <t xml:space="preserve">'ip nat outside' is missing on the ISP-facing interface (Gi0/1), so NAT never triggers for outbound traffic.</t>
  </si>
  <si>
    <t xml:space="preserve">NAT_OUTSIDE_MISSING: 'ip nat inside' is configured but no 'ip nat outside' interface is present in the evidence</t>
  </si>
  <si>
    <t xml:space="preserve">Correct; matches expected fault and rule_checker NAT_OUTSIDE_MISSING finding.</t>
  </si>
  <si>
    <t xml:space="preserve">C026</t>
  </si>
  <si>
    <t xml:space="preserve">nat_acl_wildcard_error</t>
  </si>
  <si>
    <t xml:space="preserve">The NAT access-list only covers 192.168.10.0/25 (the .0-.127 half of the subnet) due to an incorrect wildcard mask, so hosts in the .128-.255 range are never translated and lose internet access.</t>
  </si>
  <si>
    <t xml:space="preserve">NAT access-list 1 only covers 192.168.10.0/25 due to an incorrect wildcard mask, excluding the .128-.255 half of the subnet from translation.</t>
  </si>
  <si>
    <t xml:space="preserve">Correct; wildcard mask error correctly identified.</t>
  </si>
  <si>
    <t xml:space="preserve">C027</t>
  </si>
  <si>
    <t xml:space="preserve">nat_port_mismatch</t>
  </si>
  <si>
    <t xml:space="preserve">The static NAT rule forwards public port 80 to internal port 8080, but the web server is actually listening on port 80 internally, so the port translation mismatch causes external connections to fail.</t>
  </si>
  <si>
    <t xml:space="preserve">Static NAT forwards external port 80 to internal port 8080, but the server listens on port 80 internally, causing a port mismatch.</t>
  </si>
  <si>
    <t xml:space="preserve">Correct; NAT port mismatch correctly identified.</t>
  </si>
  <si>
    <t xml:space="preserve">C028</t>
  </si>
  <si>
    <t xml:space="preserve">Wireless</t>
  </si>
  <si>
    <t xml:space="preserve">wireless_vlan_mapping</t>
  </si>
  <si>
    <t xml:space="preserve">The WLAN is mapped to client VLAN 99, which does not exist / is not trunked to the AP's switch port, so even after successful PSK authentication the client cannot get an IP or complete association into a valid VLAN.</t>
  </si>
  <si>
    <t xml:space="preserve">Client VLAN 99 mapped to the Corp-WiFi WLAN is not trunked to the AP's switchport, so authentication succeeds but the client can't reach a usable VLAN.</t>
  </si>
  <si>
    <t xml:space="preserve">Correct; VLAN 99 trunking gap correctly identified.</t>
  </si>
  <si>
    <t xml:space="preserve">C029</t>
  </si>
  <si>
    <t xml:space="preserve">Layer 1/2</t>
  </si>
  <si>
    <t xml:space="preserve">wireless_channel_overlap</t>
  </si>
  <si>
    <t xml:space="preserve">AP1 and AP2 (adjacent coverage cells) are both set to the same channel (6) at max power, causing co-channel interference that degrades signal quality at cell edges rather than a hardware fault.</t>
  </si>
  <si>
    <t xml:space="preserve">AP1's radio hardware is likely failing intermittently and should be replaced.</t>
  </si>
  <si>
    <t xml:space="preserve">ap_hardware_fault</t>
  </si>
  <si>
    <t xml:space="preserve">AI jumped straight to 'replace the hardware' at medium confidence without checking the channel/power evidence that was actually available and points to co-channel interference, a config issue, not a hardware fault. Recommending a hardware swap here would have wasted a technician's time and a spare AP.</t>
  </si>
  <si>
    <t xml:space="preserve">C030</t>
  </si>
  <si>
    <t xml:space="preserve">guest_isolation_failure</t>
  </si>
  <si>
    <t xml:space="preserve">Guest VLAN 50 correctly separates Layer 2 traffic, but no Layer 3 ACL enforces isolation at the router, so routing between VLAN 50 and VLAN 10 is fully permitted by default — a missing security control, not a wireless config bug.</t>
  </si>
  <si>
    <t xml:space="preserve">The WLAN-to-VLAN mapping for the guest SSID is likely misconfigured, placing guest clients into VLAN 10 instead of VLAN 50.</t>
  </si>
  <si>
    <t xml:space="preserve">AI guessed a WLAN-VLAN mapping error despite the topology note explicitly stating the mapping was already verified correct, and did not use the actual evidence provided (no ACL referencing VLAN 50 anywhere). This is a security-relevant miss: the AI proposed re-checking something already confirmed fine instead of recognizing the real gap. Flagged for the Responsible AI log given the security impact (guest isolation bypass).</t>
  </si>
  <si>
    <t xml:space="preserve">NetSage AI - Case &amp; Review Dashboard</t>
  </si>
  <si>
    <t xml:space="preserve">Cases by Issue Type</t>
  </si>
  <si>
    <t xml:space="preserve">Category</t>
  </si>
  <si>
    <t xml:space="preserve">Count</t>
  </si>
  <si>
    <t xml:space="preserve">Severity</t>
  </si>
  <si>
    <t xml:space="preserve">Human Review Outcomes</t>
  </si>
  <si>
    <t xml:space="preserve">Status</t>
  </si>
  <si>
    <t xml:space="preserve">Total cases</t>
  </si>
  <si>
    <t xml:space="preserve">AI vs Human Agreement Rate</t>
  </si>
  <si>
    <t xml:space="preserve">Accepted-Without-Edit Rate</t>
  </si>
  <si>
    <t xml:space="preserve">Cases with Deterministic Rule Hit</t>
  </si>
</sst>
</file>

<file path=xl/styles.xml><?xml version="1.0" encoding="utf-8"?>
<styleSheet xmlns="http://schemas.openxmlformats.org/spreadsheetml/2006/main">
  <numFmts count="3">
    <numFmt numFmtId="164" formatCode="General"/>
    <numFmt numFmtId="165" formatCode="General"/>
    <numFmt numFmtId="166" formatCode="0.0%"/>
  </numFmts>
  <fonts count="11">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1"/>
      <name val="Arial"/>
      <family val="0"/>
      <charset val="1"/>
    </font>
    <font>
      <b val="true"/>
      <sz val="14"/>
      <name val="Arial"/>
      <family val="0"/>
      <charset val="1"/>
    </font>
    <font>
      <b val="true"/>
      <sz val="11"/>
      <name val="Arial"/>
      <family val="0"/>
      <charset val="1"/>
    </font>
    <font>
      <b val="true"/>
      <sz val="18"/>
      <color rgb="FF000000"/>
      <name val="Calibri"/>
      <family val="2"/>
    </font>
    <font>
      <sz val="10"/>
      <color rgb="FF000000"/>
      <name val="Calibri"/>
      <family val="2"/>
    </font>
    <font>
      <b val="true"/>
      <sz val="10"/>
      <color rgb="FF000000"/>
      <name val="Calibri"/>
      <family val="2"/>
    </font>
  </fonts>
  <fills count="3">
    <fill>
      <patternFill patternType="none"/>
    </fill>
    <fill>
      <patternFill patternType="gray125"/>
    </fill>
    <fill>
      <patternFill patternType="solid">
        <fgColor rgb="FF1F4E78"/>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Cases by Issue Type</a:t>
            </a:r>
          </a:p>
        </c:rich>
      </c:tx>
      <c:overlay val="0"/>
      <c:spPr>
        <a:noFill/>
        <a:ln w="0">
          <a:noFill/>
        </a:ln>
      </c:spPr>
    </c:title>
    <c:autoTitleDeleted val="0"/>
    <c:plotArea>
      <c:barChart>
        <c:barDir val="col"/>
        <c:grouping val="clustered"/>
        <c:varyColors val="0"/>
        <c:ser>
          <c:idx val="0"/>
          <c:order val="0"/>
          <c:tx>
            <c:strRef>
              <c:f>Summary!B4</c:f>
              <c:strCache>
                <c:ptCount val="1"/>
                <c:pt idx="0">
                  <c:v>Count</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Summary!$A$5:$A$12</c:f>
              <c:strCache>
                <c:ptCount val="8"/>
                <c:pt idx="0">
                  <c:v>VLAN</c:v>
                </c:pt>
                <c:pt idx="1">
                  <c:v>Gateway</c:v>
                </c:pt>
                <c:pt idx="2">
                  <c:v>DHCP</c:v>
                </c:pt>
                <c:pt idx="3">
                  <c:v>DNS</c:v>
                </c:pt>
                <c:pt idx="4">
                  <c:v>Routing</c:v>
                </c:pt>
                <c:pt idx="5">
                  <c:v>Human Review Outcomes</c:v>
                </c:pt>
                <c:pt idx="6">
                  <c:v>Status</c:v>
                </c:pt>
                <c:pt idx="7">
                  <c:v>Accepted</c:v>
                </c:pt>
              </c:strCache>
            </c:strRef>
          </c:cat>
          <c:val>
            <c:numRef>
              <c:f>Summary!$B$5:$B$12</c:f>
              <c:numCache>
                <c:formatCode>General</c:formatCode>
                <c:ptCount val="8"/>
                <c:pt idx="0">
                  <c:v>4</c:v>
                </c:pt>
                <c:pt idx="1">
                  <c:v>4</c:v>
                </c:pt>
                <c:pt idx="2">
                  <c:v>4</c:v>
                </c:pt>
                <c:pt idx="3">
                  <c:v>4</c:v>
                </c:pt>
                <c:pt idx="4">
                  <c:v>4</c:v>
                </c:pt>
                <c:pt idx="5">
                  <c:v>0</c:v>
                </c:pt>
                <c:pt idx="7">
                  <c:v>23</c:v>
                </c:pt>
              </c:numCache>
            </c:numRef>
          </c:val>
        </c:ser>
        <c:gapWidth val="150"/>
        <c:overlap val="0"/>
        <c:axId val="92196628"/>
        <c:axId val="27230541"/>
      </c:barChart>
      <c:catAx>
        <c:axId val="9219662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Category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7230541"/>
        <c:crosses val="autoZero"/>
        <c:auto val="1"/>
        <c:lblAlgn val="ctr"/>
        <c:lblOffset val="100"/>
        <c:noMultiLvlLbl val="0"/>
      </c:catAx>
      <c:valAx>
        <c:axId val="2723054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Count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19662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Human Review Outcomes</a:t>
            </a:r>
          </a:p>
        </c:rich>
      </c:tx>
      <c:overlay val="0"/>
      <c:spPr>
        <a:noFill/>
        <a:ln w="0">
          <a:noFill/>
        </a:ln>
      </c:spPr>
    </c:title>
    <c:autoTitleDeleted val="0"/>
    <c:plotArea>
      <c:barChart>
        <c:barDir val="col"/>
        <c:grouping val="clustered"/>
        <c:varyColors val="0"/>
        <c:ser>
          <c:idx val="0"/>
          <c:order val="0"/>
          <c:tx>
            <c:strRef>
              <c:f>Summary!B11</c:f>
              <c:strCache>
                <c:ptCount val="1"/>
                <c:pt idx="0">
                  <c:v>Count</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Summary!$A$12:$A$14</c:f>
              <c:strCache>
                <c:ptCount val="3"/>
                <c:pt idx="0">
                  <c:v>Accepted</c:v>
                </c:pt>
                <c:pt idx="1">
                  <c:v>Edited</c:v>
                </c:pt>
                <c:pt idx="2">
                  <c:v>Rejected</c:v>
                </c:pt>
              </c:strCache>
            </c:strRef>
          </c:cat>
          <c:val>
            <c:numRef>
              <c:f>Summary!$B$12:$B$14</c:f>
              <c:numCache>
                <c:formatCode>General</c:formatCode>
                <c:ptCount val="3"/>
                <c:pt idx="0">
                  <c:v>23</c:v>
                </c:pt>
                <c:pt idx="1">
                  <c:v>4</c:v>
                </c:pt>
                <c:pt idx="2">
                  <c:v>3</c:v>
                </c:pt>
              </c:numCache>
            </c:numRef>
          </c:val>
        </c:ser>
        <c:gapWidth val="150"/>
        <c:overlap val="0"/>
        <c:axId val="36692455"/>
        <c:axId val="36972710"/>
      </c:barChart>
      <c:catAx>
        <c:axId val="3669245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6972710"/>
        <c:crosses val="autoZero"/>
        <c:auto val="1"/>
        <c:lblAlgn val="ctr"/>
        <c:lblOffset val="100"/>
        <c:noMultiLvlLbl val="0"/>
      </c:catAx>
      <c:valAx>
        <c:axId val="3697271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Count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669245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2</xdr:row>
      <xdr:rowOff>160920</xdr:rowOff>
    </xdr:from>
    <xdr:to>
      <xdr:col>15</xdr:col>
      <xdr:colOff>255960</xdr:colOff>
      <xdr:row>19</xdr:row>
      <xdr:rowOff>162000</xdr:rowOff>
    </xdr:to>
    <xdr:graphicFrame>
      <xdr:nvGraphicFramePr>
        <xdr:cNvPr id="0" name="Chart 1"/>
        <xdr:cNvGraphicFramePr/>
      </xdr:nvGraphicFramePr>
      <xdr:xfrm>
        <a:off x="5592960" y="571680"/>
        <a:ext cx="575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19</xdr:row>
      <xdr:rowOff>160560</xdr:rowOff>
    </xdr:from>
    <xdr:to>
      <xdr:col>15</xdr:col>
      <xdr:colOff>255960</xdr:colOff>
      <xdr:row>36</xdr:row>
      <xdr:rowOff>161640</xdr:rowOff>
    </xdr:to>
    <xdr:graphicFrame>
      <xdr:nvGraphicFramePr>
        <xdr:cNvPr id="1" name="Chart 2"/>
        <xdr:cNvGraphicFramePr/>
      </xdr:nvGraphicFramePr>
      <xdr:xfrm>
        <a:off x="5592960" y="3809880"/>
        <a:ext cx="575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4" min="2" style="0" width="10"/>
    <col collapsed="false" customWidth="true" hidden="false" outlineLevel="0" max="5" min="5" style="0" width="22"/>
    <col collapsed="false" customWidth="true" hidden="false" outlineLevel="0" max="7" min="6" style="0" width="45"/>
    <col collapsed="false" customWidth="true" hidden="false" outlineLevel="0" max="8" min="8" style="0" width="10"/>
    <col collapsed="false" customWidth="true" hidden="false" outlineLevel="0" max="9" min="9" style="0" width="22"/>
    <col collapsed="false" customWidth="true" hidden="false" outlineLevel="0" max="10" min="10" style="0" width="12"/>
    <col collapsed="false" customWidth="true" hidden="false" outlineLevel="0" max="11" min="11" style="0" width="45"/>
    <col collapsed="false" customWidth="true" hidden="false" outlineLevel="0" max="12" min="12" style="0" width="10"/>
    <col collapsed="false" customWidth="true" hidden="false" outlineLevel="0" max="13" min="13" style="0" width="14"/>
    <col collapsed="false" customWidth="true" hidden="false" outlineLevel="0" max="14" min="14" style="0" width="55"/>
  </cols>
  <sheetData>
    <row r="1" customFormat="false" ht="26.8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row>
    <row r="2" customFormat="false" ht="52.2" hidden="false" customHeight="false" outlineLevel="0" collapsed="false">
      <c r="A2" s="2" t="s">
        <v>14</v>
      </c>
      <c r="B2" s="2" t="s">
        <v>15</v>
      </c>
      <c r="C2" s="2" t="s">
        <v>16</v>
      </c>
      <c r="D2" s="2" t="s">
        <v>17</v>
      </c>
      <c r="E2" s="2" t="s">
        <v>18</v>
      </c>
      <c r="F2" s="2" t="s">
        <v>19</v>
      </c>
      <c r="G2" s="2" t="s">
        <v>20</v>
      </c>
      <c r="H2" s="2" t="s">
        <v>21</v>
      </c>
      <c r="I2" s="2" t="s">
        <v>18</v>
      </c>
      <c r="J2" s="2" t="s">
        <v>22</v>
      </c>
      <c r="K2" s="2" t="s">
        <v>23</v>
      </c>
      <c r="L2" s="2" t="n">
        <v>0</v>
      </c>
      <c r="M2" s="2" t="s">
        <v>24</v>
      </c>
      <c r="N2" s="2" t="s">
        <v>25</v>
      </c>
    </row>
    <row r="3" customFormat="false" ht="39.55" hidden="false" customHeight="false" outlineLevel="0" collapsed="false">
      <c r="A3" s="2" t="s">
        <v>26</v>
      </c>
      <c r="B3" s="2" t="s">
        <v>15</v>
      </c>
      <c r="C3" s="2" t="s">
        <v>27</v>
      </c>
      <c r="D3" s="2" t="s">
        <v>17</v>
      </c>
      <c r="E3" s="2" t="s">
        <v>18</v>
      </c>
      <c r="F3" s="2" t="s">
        <v>28</v>
      </c>
      <c r="G3" s="2" t="s">
        <v>29</v>
      </c>
      <c r="H3" s="2" t="s">
        <v>21</v>
      </c>
      <c r="I3" s="2" t="s">
        <v>18</v>
      </c>
      <c r="J3" s="2" t="s">
        <v>22</v>
      </c>
      <c r="K3" s="2" t="s">
        <v>30</v>
      </c>
      <c r="L3" s="2" t="n">
        <v>1</v>
      </c>
      <c r="M3" s="2" t="s">
        <v>24</v>
      </c>
      <c r="N3" s="2" t="s">
        <v>31</v>
      </c>
    </row>
    <row r="4" customFormat="false" ht="39.55" hidden="false" customHeight="false" outlineLevel="0" collapsed="false">
      <c r="A4" s="2" t="s">
        <v>32</v>
      </c>
      <c r="B4" s="2" t="s">
        <v>15</v>
      </c>
      <c r="C4" s="2" t="s">
        <v>16</v>
      </c>
      <c r="D4" s="2" t="s">
        <v>17</v>
      </c>
      <c r="E4" s="2" t="s">
        <v>33</v>
      </c>
      <c r="F4" s="2" t="s">
        <v>34</v>
      </c>
      <c r="G4" s="2" t="s">
        <v>35</v>
      </c>
      <c r="H4" s="2" t="s">
        <v>21</v>
      </c>
      <c r="I4" s="2" t="s">
        <v>33</v>
      </c>
      <c r="J4" s="2" t="s">
        <v>22</v>
      </c>
      <c r="K4" s="2" t="s">
        <v>23</v>
      </c>
      <c r="L4" s="2" t="n">
        <v>0</v>
      </c>
      <c r="M4" s="2" t="s">
        <v>24</v>
      </c>
      <c r="N4" s="2" t="s">
        <v>36</v>
      </c>
    </row>
    <row r="5" customFormat="false" ht="64.9" hidden="false" customHeight="false" outlineLevel="0" collapsed="false">
      <c r="A5" s="2" t="s">
        <v>37</v>
      </c>
      <c r="B5" s="2" t="s">
        <v>15</v>
      </c>
      <c r="C5" s="2" t="s">
        <v>38</v>
      </c>
      <c r="D5" s="2" t="s">
        <v>17</v>
      </c>
      <c r="E5" s="2" t="s">
        <v>39</v>
      </c>
      <c r="F5" s="2" t="s">
        <v>40</v>
      </c>
      <c r="G5" s="2" t="s">
        <v>41</v>
      </c>
      <c r="H5" s="2" t="s">
        <v>42</v>
      </c>
      <c r="I5" s="2" t="s">
        <v>33</v>
      </c>
      <c r="J5" s="2" t="s">
        <v>43</v>
      </c>
      <c r="K5" s="2" t="s">
        <v>23</v>
      </c>
      <c r="L5" s="2" t="n">
        <v>0</v>
      </c>
      <c r="M5" s="2" t="s">
        <v>44</v>
      </c>
      <c r="N5" s="2" t="s">
        <v>45</v>
      </c>
    </row>
    <row r="6" customFormat="false" ht="52.2" hidden="false" customHeight="false" outlineLevel="0" collapsed="false">
      <c r="A6" s="2" t="s">
        <v>46</v>
      </c>
      <c r="B6" s="2" t="s">
        <v>47</v>
      </c>
      <c r="C6" s="2" t="s">
        <v>16</v>
      </c>
      <c r="D6" s="2" t="s">
        <v>48</v>
      </c>
      <c r="E6" s="2" t="s">
        <v>49</v>
      </c>
      <c r="F6" s="2" t="s">
        <v>50</v>
      </c>
      <c r="G6" s="2" t="s">
        <v>51</v>
      </c>
      <c r="H6" s="2" t="s">
        <v>21</v>
      </c>
      <c r="I6" s="2" t="s">
        <v>49</v>
      </c>
      <c r="J6" s="2" t="s">
        <v>22</v>
      </c>
      <c r="K6" s="2" t="s">
        <v>52</v>
      </c>
      <c r="L6" s="2" t="n">
        <v>1</v>
      </c>
      <c r="M6" s="2" t="s">
        <v>24</v>
      </c>
      <c r="N6" s="2" t="s">
        <v>53</v>
      </c>
    </row>
    <row r="7" customFormat="false" ht="64.9" hidden="false" customHeight="false" outlineLevel="0" collapsed="false">
      <c r="A7" s="2" t="s">
        <v>54</v>
      </c>
      <c r="B7" s="2" t="s">
        <v>47</v>
      </c>
      <c r="C7" s="2" t="s">
        <v>27</v>
      </c>
      <c r="D7" s="2" t="s">
        <v>48</v>
      </c>
      <c r="E7" s="2" t="s">
        <v>55</v>
      </c>
      <c r="F7" s="2" t="s">
        <v>56</v>
      </c>
      <c r="G7" s="2" t="s">
        <v>57</v>
      </c>
      <c r="H7" s="2" t="s">
        <v>42</v>
      </c>
      <c r="I7" s="2" t="s">
        <v>55</v>
      </c>
      <c r="J7" s="2" t="s">
        <v>22</v>
      </c>
      <c r="K7" s="2" t="s">
        <v>23</v>
      </c>
      <c r="L7" s="2" t="n">
        <v>0</v>
      </c>
      <c r="M7" s="2" t="s">
        <v>24</v>
      </c>
      <c r="N7" s="2" t="s">
        <v>58</v>
      </c>
    </row>
    <row r="8" customFormat="false" ht="52.2" hidden="false" customHeight="false" outlineLevel="0" collapsed="false">
      <c r="A8" s="2" t="s">
        <v>59</v>
      </c>
      <c r="B8" s="2" t="s">
        <v>47</v>
      </c>
      <c r="C8" s="2" t="s">
        <v>16</v>
      </c>
      <c r="D8" s="2" t="s">
        <v>48</v>
      </c>
      <c r="E8" s="2" t="s">
        <v>60</v>
      </c>
      <c r="F8" s="2" t="s">
        <v>61</v>
      </c>
      <c r="G8" s="2" t="s">
        <v>62</v>
      </c>
      <c r="H8" s="2" t="s">
        <v>21</v>
      </c>
      <c r="I8" s="2" t="s">
        <v>60</v>
      </c>
      <c r="J8" s="2" t="s">
        <v>22</v>
      </c>
      <c r="K8" s="2" t="s">
        <v>63</v>
      </c>
      <c r="L8" s="2" t="n">
        <v>1</v>
      </c>
      <c r="M8" s="2" t="s">
        <v>24</v>
      </c>
      <c r="N8" s="2" t="s">
        <v>64</v>
      </c>
    </row>
    <row r="9" customFormat="false" ht="77.6" hidden="false" customHeight="false" outlineLevel="0" collapsed="false">
      <c r="A9" s="2" t="s">
        <v>65</v>
      </c>
      <c r="B9" s="2" t="s">
        <v>47</v>
      </c>
      <c r="C9" s="2" t="s">
        <v>27</v>
      </c>
      <c r="D9" s="2" t="s">
        <v>48</v>
      </c>
      <c r="E9" s="2" t="s">
        <v>66</v>
      </c>
      <c r="F9" s="2" t="s">
        <v>67</v>
      </c>
      <c r="G9" s="2" t="s">
        <v>68</v>
      </c>
      <c r="H9" s="2" t="s">
        <v>42</v>
      </c>
      <c r="I9" s="2" t="s">
        <v>69</v>
      </c>
      <c r="J9" s="2" t="s">
        <v>43</v>
      </c>
      <c r="K9" s="2" t="s">
        <v>70</v>
      </c>
      <c r="L9" s="2" t="n">
        <v>1</v>
      </c>
      <c r="M9" s="2" t="s">
        <v>71</v>
      </c>
      <c r="N9" s="2" t="s">
        <v>72</v>
      </c>
    </row>
    <row r="10" customFormat="false" ht="64.9" hidden="false" customHeight="false" outlineLevel="0" collapsed="false">
      <c r="A10" s="2" t="s">
        <v>73</v>
      </c>
      <c r="B10" s="2" t="s">
        <v>74</v>
      </c>
      <c r="C10" s="2" t="s">
        <v>16</v>
      </c>
      <c r="D10" s="2" t="s">
        <v>48</v>
      </c>
      <c r="E10" s="2" t="s">
        <v>75</v>
      </c>
      <c r="F10" s="2" t="s">
        <v>76</v>
      </c>
      <c r="G10" s="2" t="s">
        <v>77</v>
      </c>
      <c r="H10" s="2" t="s">
        <v>21</v>
      </c>
      <c r="I10" s="2" t="s">
        <v>75</v>
      </c>
      <c r="J10" s="2" t="s">
        <v>22</v>
      </c>
      <c r="K10" s="2" t="s">
        <v>23</v>
      </c>
      <c r="L10" s="2" t="n">
        <v>0</v>
      </c>
      <c r="M10" s="2" t="s">
        <v>24</v>
      </c>
      <c r="N10" s="2" t="s">
        <v>78</v>
      </c>
    </row>
    <row r="11" customFormat="false" ht="64.9" hidden="false" customHeight="false" outlineLevel="0" collapsed="false">
      <c r="A11" s="2" t="s">
        <v>79</v>
      </c>
      <c r="B11" s="2" t="s">
        <v>74</v>
      </c>
      <c r="C11" s="2" t="s">
        <v>27</v>
      </c>
      <c r="D11" s="2" t="s">
        <v>48</v>
      </c>
      <c r="E11" s="2" t="s">
        <v>80</v>
      </c>
      <c r="F11" s="2" t="s">
        <v>81</v>
      </c>
      <c r="G11" s="2" t="s">
        <v>82</v>
      </c>
      <c r="H11" s="2" t="s">
        <v>21</v>
      </c>
      <c r="I11" s="2" t="s">
        <v>80</v>
      </c>
      <c r="J11" s="2" t="s">
        <v>22</v>
      </c>
      <c r="K11" s="2" t="s">
        <v>23</v>
      </c>
      <c r="L11" s="2" t="n">
        <v>0</v>
      </c>
      <c r="M11" s="2" t="s">
        <v>24</v>
      </c>
      <c r="N11" s="2" t="s">
        <v>83</v>
      </c>
    </row>
    <row r="12" customFormat="false" ht="52.2" hidden="false" customHeight="false" outlineLevel="0" collapsed="false">
      <c r="A12" s="2" t="s">
        <v>84</v>
      </c>
      <c r="B12" s="2" t="s">
        <v>74</v>
      </c>
      <c r="C12" s="2" t="s">
        <v>27</v>
      </c>
      <c r="D12" s="2" t="s">
        <v>85</v>
      </c>
      <c r="E12" s="2" t="s">
        <v>86</v>
      </c>
      <c r="F12" s="2" t="s">
        <v>87</v>
      </c>
      <c r="G12" s="2" t="s">
        <v>88</v>
      </c>
      <c r="H12" s="2" t="s">
        <v>21</v>
      </c>
      <c r="I12" s="2" t="s">
        <v>86</v>
      </c>
      <c r="J12" s="2" t="s">
        <v>22</v>
      </c>
      <c r="K12" s="2" t="s">
        <v>23</v>
      </c>
      <c r="L12" s="2" t="n">
        <v>0</v>
      </c>
      <c r="M12" s="2" t="s">
        <v>24</v>
      </c>
      <c r="N12" s="2" t="s">
        <v>89</v>
      </c>
    </row>
    <row r="13" customFormat="false" ht="64.9" hidden="false" customHeight="false" outlineLevel="0" collapsed="false">
      <c r="A13" s="2" t="s">
        <v>90</v>
      </c>
      <c r="B13" s="2" t="s">
        <v>74</v>
      </c>
      <c r="C13" s="2" t="s">
        <v>38</v>
      </c>
      <c r="D13" s="2" t="s">
        <v>48</v>
      </c>
      <c r="E13" s="2" t="s">
        <v>91</v>
      </c>
      <c r="F13" s="2" t="s">
        <v>92</v>
      </c>
      <c r="G13" s="2" t="s">
        <v>93</v>
      </c>
      <c r="H13" s="2" t="s">
        <v>94</v>
      </c>
      <c r="I13" s="2" t="s">
        <v>95</v>
      </c>
      <c r="J13" s="2" t="s">
        <v>43</v>
      </c>
      <c r="K13" s="2" t="s">
        <v>23</v>
      </c>
      <c r="L13" s="2" t="n">
        <v>0</v>
      </c>
      <c r="M13" s="2" t="s">
        <v>44</v>
      </c>
      <c r="N13" s="2" t="s">
        <v>96</v>
      </c>
    </row>
    <row r="14" customFormat="false" ht="64.9" hidden="false" customHeight="false" outlineLevel="0" collapsed="false">
      <c r="A14" s="2" t="s">
        <v>97</v>
      </c>
      <c r="B14" s="2" t="s">
        <v>98</v>
      </c>
      <c r="C14" s="2" t="s">
        <v>27</v>
      </c>
      <c r="D14" s="2" t="s">
        <v>85</v>
      </c>
      <c r="E14" s="2" t="s">
        <v>99</v>
      </c>
      <c r="F14" s="2" t="s">
        <v>100</v>
      </c>
      <c r="G14" s="2" t="s">
        <v>101</v>
      </c>
      <c r="H14" s="2" t="s">
        <v>21</v>
      </c>
      <c r="I14" s="2" t="s">
        <v>99</v>
      </c>
      <c r="J14" s="2" t="s">
        <v>22</v>
      </c>
      <c r="K14" s="2" t="s">
        <v>23</v>
      </c>
      <c r="L14" s="2" t="n">
        <v>0</v>
      </c>
      <c r="M14" s="2" t="s">
        <v>24</v>
      </c>
      <c r="N14" s="2" t="s">
        <v>102</v>
      </c>
    </row>
    <row r="15" customFormat="false" ht="52.2" hidden="false" customHeight="false" outlineLevel="0" collapsed="false">
      <c r="A15" s="2" t="s">
        <v>103</v>
      </c>
      <c r="B15" s="2" t="s">
        <v>98</v>
      </c>
      <c r="C15" s="2" t="s">
        <v>16</v>
      </c>
      <c r="D15" s="2" t="s">
        <v>48</v>
      </c>
      <c r="E15" s="2" t="s">
        <v>104</v>
      </c>
      <c r="F15" s="2" t="s">
        <v>105</v>
      </c>
      <c r="G15" s="2" t="s">
        <v>106</v>
      </c>
      <c r="H15" s="2" t="s">
        <v>21</v>
      </c>
      <c r="I15" s="2" t="s">
        <v>104</v>
      </c>
      <c r="J15" s="2" t="s">
        <v>22</v>
      </c>
      <c r="K15" s="2" t="s">
        <v>23</v>
      </c>
      <c r="L15" s="2" t="n">
        <v>0</v>
      </c>
      <c r="M15" s="2" t="s">
        <v>24</v>
      </c>
      <c r="N15" s="2" t="s">
        <v>107</v>
      </c>
    </row>
    <row r="16" customFormat="false" ht="64.9" hidden="false" customHeight="false" outlineLevel="0" collapsed="false">
      <c r="A16" s="2" t="s">
        <v>108</v>
      </c>
      <c r="B16" s="2" t="s">
        <v>98</v>
      </c>
      <c r="C16" s="2" t="s">
        <v>38</v>
      </c>
      <c r="D16" s="2" t="s">
        <v>85</v>
      </c>
      <c r="E16" s="2" t="s">
        <v>109</v>
      </c>
      <c r="F16" s="2" t="s">
        <v>110</v>
      </c>
      <c r="G16" s="2" t="s">
        <v>111</v>
      </c>
      <c r="H16" s="2" t="s">
        <v>21</v>
      </c>
      <c r="I16" s="2" t="s">
        <v>109</v>
      </c>
      <c r="J16" s="2" t="s">
        <v>22</v>
      </c>
      <c r="K16" s="2" t="s">
        <v>23</v>
      </c>
      <c r="L16" s="2" t="n">
        <v>0</v>
      </c>
      <c r="M16" s="2" t="s">
        <v>24</v>
      </c>
      <c r="N16" s="2" t="s">
        <v>112</v>
      </c>
    </row>
    <row r="17" customFormat="false" ht="52.2" hidden="false" customHeight="false" outlineLevel="0" collapsed="false">
      <c r="A17" s="2" t="s">
        <v>113</v>
      </c>
      <c r="B17" s="2" t="s">
        <v>98</v>
      </c>
      <c r="C17" s="2" t="s">
        <v>27</v>
      </c>
      <c r="D17" s="2" t="s">
        <v>85</v>
      </c>
      <c r="E17" s="2" t="s">
        <v>114</v>
      </c>
      <c r="F17" s="2" t="s">
        <v>115</v>
      </c>
      <c r="G17" s="2" t="s">
        <v>116</v>
      </c>
      <c r="H17" s="2" t="s">
        <v>21</v>
      </c>
      <c r="I17" s="2" t="s">
        <v>114</v>
      </c>
      <c r="J17" s="2" t="s">
        <v>22</v>
      </c>
      <c r="K17" s="2" t="s">
        <v>23</v>
      </c>
      <c r="L17" s="2" t="n">
        <v>0</v>
      </c>
      <c r="M17" s="2" t="s">
        <v>24</v>
      </c>
      <c r="N17" s="2" t="s">
        <v>117</v>
      </c>
    </row>
    <row r="18" customFormat="false" ht="52.2" hidden="false" customHeight="false" outlineLevel="0" collapsed="false">
      <c r="A18" s="2" t="s">
        <v>118</v>
      </c>
      <c r="B18" s="2" t="s">
        <v>119</v>
      </c>
      <c r="C18" s="2" t="s">
        <v>16</v>
      </c>
      <c r="D18" s="2" t="s">
        <v>48</v>
      </c>
      <c r="E18" s="2" t="s">
        <v>120</v>
      </c>
      <c r="F18" s="2" t="s">
        <v>121</v>
      </c>
      <c r="G18" s="2" t="s">
        <v>122</v>
      </c>
      <c r="H18" s="2" t="s">
        <v>21</v>
      </c>
      <c r="I18" s="2" t="s">
        <v>120</v>
      </c>
      <c r="J18" s="2" t="s">
        <v>22</v>
      </c>
      <c r="K18" s="2" t="s">
        <v>123</v>
      </c>
      <c r="L18" s="2" t="n">
        <v>1</v>
      </c>
      <c r="M18" s="2" t="s">
        <v>24</v>
      </c>
      <c r="N18" s="2" t="s">
        <v>124</v>
      </c>
    </row>
    <row r="19" customFormat="false" ht="39.55" hidden="false" customHeight="false" outlineLevel="0" collapsed="false">
      <c r="A19" s="2" t="s">
        <v>125</v>
      </c>
      <c r="B19" s="2" t="s">
        <v>119</v>
      </c>
      <c r="C19" s="2" t="s">
        <v>16</v>
      </c>
      <c r="D19" s="2" t="s">
        <v>48</v>
      </c>
      <c r="E19" s="2" t="s">
        <v>126</v>
      </c>
      <c r="F19" s="2" t="s">
        <v>127</v>
      </c>
      <c r="G19" s="2" t="s">
        <v>128</v>
      </c>
      <c r="H19" s="2" t="s">
        <v>21</v>
      </c>
      <c r="I19" s="2" t="s">
        <v>126</v>
      </c>
      <c r="J19" s="2" t="s">
        <v>22</v>
      </c>
      <c r="K19" s="2" t="s">
        <v>23</v>
      </c>
      <c r="L19" s="2" t="n">
        <v>0</v>
      </c>
      <c r="M19" s="2" t="s">
        <v>24</v>
      </c>
      <c r="N19" s="2" t="s">
        <v>129</v>
      </c>
    </row>
    <row r="20" customFormat="false" ht="52.2" hidden="false" customHeight="false" outlineLevel="0" collapsed="false">
      <c r="A20" s="2" t="s">
        <v>130</v>
      </c>
      <c r="B20" s="2" t="s">
        <v>119</v>
      </c>
      <c r="C20" s="2" t="s">
        <v>27</v>
      </c>
      <c r="D20" s="2" t="s">
        <v>48</v>
      </c>
      <c r="E20" s="2" t="s">
        <v>131</v>
      </c>
      <c r="F20" s="2" t="s">
        <v>132</v>
      </c>
      <c r="G20" s="2" t="s">
        <v>133</v>
      </c>
      <c r="H20" s="2" t="s">
        <v>21</v>
      </c>
      <c r="I20" s="2" t="s">
        <v>131</v>
      </c>
      <c r="J20" s="2" t="s">
        <v>22</v>
      </c>
      <c r="K20" s="2" t="s">
        <v>23</v>
      </c>
      <c r="L20" s="2" t="n">
        <v>0</v>
      </c>
      <c r="M20" s="2" t="s">
        <v>24</v>
      </c>
      <c r="N20" s="2" t="s">
        <v>134</v>
      </c>
    </row>
    <row r="21" customFormat="false" ht="77.6" hidden="false" customHeight="false" outlineLevel="0" collapsed="false">
      <c r="A21" s="2" t="s">
        <v>135</v>
      </c>
      <c r="B21" s="2" t="s">
        <v>119</v>
      </c>
      <c r="C21" s="2" t="s">
        <v>27</v>
      </c>
      <c r="D21" s="2" t="s">
        <v>48</v>
      </c>
      <c r="E21" s="2" t="s">
        <v>136</v>
      </c>
      <c r="F21" s="2" t="s">
        <v>137</v>
      </c>
      <c r="G21" s="2" t="s">
        <v>138</v>
      </c>
      <c r="H21" s="2" t="s">
        <v>42</v>
      </c>
      <c r="I21" s="2" t="s">
        <v>139</v>
      </c>
      <c r="J21" s="2" t="s">
        <v>43</v>
      </c>
      <c r="K21" s="2" t="s">
        <v>23</v>
      </c>
      <c r="L21" s="2" t="n">
        <v>0</v>
      </c>
      <c r="M21" s="2" t="s">
        <v>71</v>
      </c>
      <c r="N21" s="2" t="s">
        <v>140</v>
      </c>
    </row>
    <row r="22" customFormat="false" ht="64.9" hidden="false" customHeight="false" outlineLevel="0" collapsed="false">
      <c r="A22" s="2" t="s">
        <v>141</v>
      </c>
      <c r="B22" s="2" t="s">
        <v>142</v>
      </c>
      <c r="C22" s="2" t="s">
        <v>16</v>
      </c>
      <c r="D22" s="2" t="s">
        <v>143</v>
      </c>
      <c r="E22" s="2" t="s">
        <v>144</v>
      </c>
      <c r="F22" s="2" t="s">
        <v>145</v>
      </c>
      <c r="G22" s="2" t="s">
        <v>146</v>
      </c>
      <c r="H22" s="2" t="s">
        <v>21</v>
      </c>
      <c r="I22" s="2" t="s">
        <v>144</v>
      </c>
      <c r="J22" s="2" t="s">
        <v>22</v>
      </c>
      <c r="K22" s="2" t="s">
        <v>147</v>
      </c>
      <c r="L22" s="2" t="n">
        <v>1</v>
      </c>
      <c r="M22" s="2" t="s">
        <v>24</v>
      </c>
      <c r="N22" s="2" t="s">
        <v>148</v>
      </c>
    </row>
    <row r="23" customFormat="false" ht="52.2" hidden="false" customHeight="false" outlineLevel="0" collapsed="false">
      <c r="A23" s="2" t="s">
        <v>149</v>
      </c>
      <c r="B23" s="2" t="s">
        <v>142</v>
      </c>
      <c r="C23" s="2" t="s">
        <v>27</v>
      </c>
      <c r="D23" s="2" t="s">
        <v>150</v>
      </c>
      <c r="E23" s="2" t="s">
        <v>151</v>
      </c>
      <c r="F23" s="2" t="s">
        <v>152</v>
      </c>
      <c r="G23" s="2" t="s">
        <v>153</v>
      </c>
      <c r="H23" s="2" t="s">
        <v>21</v>
      </c>
      <c r="I23" s="2" t="s">
        <v>151</v>
      </c>
      <c r="J23" s="2" t="s">
        <v>22</v>
      </c>
      <c r="K23" s="2" t="s">
        <v>23</v>
      </c>
      <c r="L23" s="2" t="n">
        <v>0</v>
      </c>
      <c r="M23" s="2" t="s">
        <v>24</v>
      </c>
      <c r="N23" s="2" t="s">
        <v>154</v>
      </c>
    </row>
    <row r="24" customFormat="false" ht="77.6" hidden="false" customHeight="false" outlineLevel="0" collapsed="false">
      <c r="A24" s="2" t="s">
        <v>155</v>
      </c>
      <c r="B24" s="2" t="s">
        <v>142</v>
      </c>
      <c r="C24" s="2" t="s">
        <v>16</v>
      </c>
      <c r="D24" s="2" t="s">
        <v>143</v>
      </c>
      <c r="E24" s="2" t="s">
        <v>156</v>
      </c>
      <c r="F24" s="2" t="s">
        <v>157</v>
      </c>
      <c r="G24" s="2" t="s">
        <v>158</v>
      </c>
      <c r="H24" s="2" t="s">
        <v>21</v>
      </c>
      <c r="I24" s="2" t="s">
        <v>156</v>
      </c>
      <c r="J24" s="2" t="s">
        <v>22</v>
      </c>
      <c r="K24" s="2" t="s">
        <v>147</v>
      </c>
      <c r="L24" s="2" t="n">
        <v>1</v>
      </c>
      <c r="M24" s="2" t="s">
        <v>24</v>
      </c>
      <c r="N24" s="2" t="s">
        <v>159</v>
      </c>
    </row>
    <row r="25" customFormat="false" ht="90.25" hidden="false" customHeight="false" outlineLevel="0" collapsed="false">
      <c r="A25" s="2" t="s">
        <v>160</v>
      </c>
      <c r="B25" s="2" t="s">
        <v>142</v>
      </c>
      <c r="C25" s="2" t="s">
        <v>27</v>
      </c>
      <c r="D25" s="2" t="s">
        <v>48</v>
      </c>
      <c r="E25" s="2" t="s">
        <v>161</v>
      </c>
      <c r="F25" s="2" t="s">
        <v>162</v>
      </c>
      <c r="G25" s="2" t="s">
        <v>163</v>
      </c>
      <c r="H25" s="2" t="s">
        <v>94</v>
      </c>
      <c r="I25" s="2" t="s">
        <v>164</v>
      </c>
      <c r="J25" s="2" t="s">
        <v>43</v>
      </c>
      <c r="K25" s="2" t="s">
        <v>23</v>
      </c>
      <c r="L25" s="2" t="n">
        <v>0</v>
      </c>
      <c r="M25" s="2" t="s">
        <v>44</v>
      </c>
      <c r="N25" s="2" t="s">
        <v>165</v>
      </c>
    </row>
    <row r="26" customFormat="false" ht="64.9" hidden="false" customHeight="false" outlineLevel="0" collapsed="false">
      <c r="A26" s="2" t="s">
        <v>166</v>
      </c>
      <c r="B26" s="2" t="s">
        <v>167</v>
      </c>
      <c r="C26" s="2" t="s">
        <v>16</v>
      </c>
      <c r="D26" s="2" t="s">
        <v>48</v>
      </c>
      <c r="E26" s="2" t="s">
        <v>168</v>
      </c>
      <c r="F26" s="2" t="s">
        <v>169</v>
      </c>
      <c r="G26" s="2" t="s">
        <v>170</v>
      </c>
      <c r="H26" s="2" t="s">
        <v>21</v>
      </c>
      <c r="I26" s="2" t="s">
        <v>168</v>
      </c>
      <c r="J26" s="2" t="s">
        <v>22</v>
      </c>
      <c r="K26" s="2" t="s">
        <v>171</v>
      </c>
      <c r="L26" s="2" t="n">
        <v>1</v>
      </c>
      <c r="M26" s="2" t="s">
        <v>24</v>
      </c>
      <c r="N26" s="2" t="s">
        <v>172</v>
      </c>
    </row>
    <row r="27" customFormat="false" ht="64.9" hidden="false" customHeight="false" outlineLevel="0" collapsed="false">
      <c r="A27" s="2" t="s">
        <v>173</v>
      </c>
      <c r="B27" s="2" t="s">
        <v>167</v>
      </c>
      <c r="C27" s="2" t="s">
        <v>27</v>
      </c>
      <c r="D27" s="2" t="s">
        <v>48</v>
      </c>
      <c r="E27" s="2" t="s">
        <v>174</v>
      </c>
      <c r="F27" s="2" t="s">
        <v>175</v>
      </c>
      <c r="G27" s="2" t="s">
        <v>176</v>
      </c>
      <c r="H27" s="2" t="s">
        <v>21</v>
      </c>
      <c r="I27" s="2" t="s">
        <v>174</v>
      </c>
      <c r="J27" s="2" t="s">
        <v>22</v>
      </c>
      <c r="K27" s="2" t="s">
        <v>23</v>
      </c>
      <c r="L27" s="2" t="n">
        <v>0</v>
      </c>
      <c r="M27" s="2" t="s">
        <v>24</v>
      </c>
      <c r="N27" s="2" t="s">
        <v>177</v>
      </c>
    </row>
    <row r="28" customFormat="false" ht="64.9" hidden="false" customHeight="false" outlineLevel="0" collapsed="false">
      <c r="A28" s="2" t="s">
        <v>178</v>
      </c>
      <c r="B28" s="2" t="s">
        <v>167</v>
      </c>
      <c r="C28" s="2" t="s">
        <v>27</v>
      </c>
      <c r="D28" s="2" t="s">
        <v>150</v>
      </c>
      <c r="E28" s="2" t="s">
        <v>179</v>
      </c>
      <c r="F28" s="2" t="s">
        <v>180</v>
      </c>
      <c r="G28" s="2" t="s">
        <v>181</v>
      </c>
      <c r="H28" s="2" t="s">
        <v>21</v>
      </c>
      <c r="I28" s="2" t="s">
        <v>179</v>
      </c>
      <c r="J28" s="2" t="s">
        <v>22</v>
      </c>
      <c r="K28" s="2" t="s">
        <v>171</v>
      </c>
      <c r="L28" s="2" t="n">
        <v>1</v>
      </c>
      <c r="M28" s="2" t="s">
        <v>24</v>
      </c>
      <c r="N28" s="2" t="s">
        <v>182</v>
      </c>
    </row>
    <row r="29" customFormat="false" ht="64.9" hidden="false" customHeight="false" outlineLevel="0" collapsed="false">
      <c r="A29" s="2" t="s">
        <v>183</v>
      </c>
      <c r="B29" s="2" t="s">
        <v>184</v>
      </c>
      <c r="C29" s="2" t="s">
        <v>27</v>
      </c>
      <c r="D29" s="2" t="s">
        <v>17</v>
      </c>
      <c r="E29" s="2" t="s">
        <v>185</v>
      </c>
      <c r="F29" s="2" t="s">
        <v>186</v>
      </c>
      <c r="G29" s="2" t="s">
        <v>187</v>
      </c>
      <c r="H29" s="2" t="s">
        <v>21</v>
      </c>
      <c r="I29" s="2" t="s">
        <v>185</v>
      </c>
      <c r="J29" s="2" t="s">
        <v>22</v>
      </c>
      <c r="K29" s="2" t="s">
        <v>23</v>
      </c>
      <c r="L29" s="2" t="n">
        <v>0</v>
      </c>
      <c r="M29" s="2" t="s">
        <v>24</v>
      </c>
      <c r="N29" s="2" t="s">
        <v>188</v>
      </c>
    </row>
    <row r="30" customFormat="false" ht="77.6" hidden="false" customHeight="false" outlineLevel="0" collapsed="false">
      <c r="A30" s="2" t="s">
        <v>189</v>
      </c>
      <c r="B30" s="2" t="s">
        <v>184</v>
      </c>
      <c r="C30" s="2" t="s">
        <v>38</v>
      </c>
      <c r="D30" s="2" t="s">
        <v>190</v>
      </c>
      <c r="E30" s="2" t="s">
        <v>191</v>
      </c>
      <c r="F30" s="2" t="s">
        <v>192</v>
      </c>
      <c r="G30" s="2" t="s">
        <v>193</v>
      </c>
      <c r="H30" s="2" t="s">
        <v>42</v>
      </c>
      <c r="I30" s="2" t="s">
        <v>194</v>
      </c>
      <c r="J30" s="2" t="s">
        <v>43</v>
      </c>
      <c r="K30" s="2" t="s">
        <v>23</v>
      </c>
      <c r="L30" s="2" t="n">
        <v>0</v>
      </c>
      <c r="M30" s="2" t="s">
        <v>71</v>
      </c>
      <c r="N30" s="2" t="s">
        <v>195</v>
      </c>
    </row>
    <row r="31" customFormat="false" ht="102.95" hidden="false" customHeight="false" outlineLevel="0" collapsed="false">
      <c r="A31" s="2" t="s">
        <v>196</v>
      </c>
      <c r="B31" s="2" t="s">
        <v>184</v>
      </c>
      <c r="C31" s="2" t="s">
        <v>16</v>
      </c>
      <c r="D31" s="2" t="s">
        <v>48</v>
      </c>
      <c r="E31" s="2" t="s">
        <v>197</v>
      </c>
      <c r="F31" s="2" t="s">
        <v>198</v>
      </c>
      <c r="G31" s="2" t="s">
        <v>199</v>
      </c>
      <c r="H31" s="2" t="s">
        <v>42</v>
      </c>
      <c r="I31" s="2" t="s">
        <v>185</v>
      </c>
      <c r="J31" s="2" t="s">
        <v>43</v>
      </c>
      <c r="K31" s="2" t="s">
        <v>23</v>
      </c>
      <c r="L31" s="2" t="n">
        <v>0</v>
      </c>
      <c r="M31" s="2" t="s">
        <v>44</v>
      </c>
      <c r="N31" s="2" t="s">
        <v>200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
    <col collapsed="false" customWidth="true" hidden="false" outlineLevel="0" max="4" min="4" style="0" width="14"/>
    <col collapsed="false" customWidth="true" hidden="false" outlineLevel="0" max="5" min="5" style="0" width="10"/>
  </cols>
  <sheetData>
    <row r="1" customFormat="false" ht="17.35" hidden="false" customHeight="false" outlineLevel="0" collapsed="false">
      <c r="A1" s="3" t="s">
        <v>201</v>
      </c>
      <c r="B1" s="3"/>
      <c r="C1" s="3"/>
      <c r="D1" s="3"/>
    </row>
    <row r="3" customFormat="false" ht="15" hidden="false" customHeight="false" outlineLevel="0" collapsed="false">
      <c r="A3" s="4" t="s">
        <v>202</v>
      </c>
    </row>
    <row r="4" customFormat="false" ht="15" hidden="false" customHeight="false" outlineLevel="0" collapsed="false">
      <c r="A4" s="5" t="s">
        <v>203</v>
      </c>
      <c r="B4" s="5" t="s">
        <v>204</v>
      </c>
      <c r="D4" s="5" t="s">
        <v>205</v>
      </c>
      <c r="E4" s="5" t="s">
        <v>204</v>
      </c>
    </row>
    <row r="5" customFormat="false" ht="15" hidden="false" customHeight="false" outlineLevel="0" collapsed="false">
      <c r="A5" s="0" t="s">
        <v>15</v>
      </c>
      <c r="B5" s="0" t="n">
        <f aca="false">COUNTIF(RawData!B2:B31,A5)</f>
        <v>4</v>
      </c>
      <c r="D5" s="0" t="s">
        <v>16</v>
      </c>
      <c r="E5" s="0" t="n">
        <f aca="false">COUNTIF(RawData!C2:C31,D5)</f>
        <v>12</v>
      </c>
    </row>
    <row r="6" customFormat="false" ht="15" hidden="false" customHeight="false" outlineLevel="0" collapsed="false">
      <c r="A6" s="0" t="s">
        <v>47</v>
      </c>
      <c r="B6" s="0" t="n">
        <f aca="false">COUNTIF(RawData!B2:B31,A6)</f>
        <v>4</v>
      </c>
      <c r="D6" s="0" t="s">
        <v>27</v>
      </c>
      <c r="E6" s="0" t="n">
        <f aca="false">COUNTIF(RawData!C2:C31,D6)</f>
        <v>14</v>
      </c>
    </row>
    <row r="7" customFormat="false" ht="15" hidden="false" customHeight="false" outlineLevel="0" collapsed="false">
      <c r="A7" s="0" t="s">
        <v>74</v>
      </c>
      <c r="B7" s="0" t="n">
        <f aca="false">COUNTIF(RawData!B2:B31,A7)</f>
        <v>4</v>
      </c>
      <c r="D7" s="0" t="s">
        <v>38</v>
      </c>
      <c r="E7" s="0" t="n">
        <f aca="false">COUNTIF(RawData!C2:C31,D7)</f>
        <v>4</v>
      </c>
    </row>
    <row r="8" customFormat="false" ht="15" hidden="false" customHeight="false" outlineLevel="0" collapsed="false">
      <c r="A8" s="0" t="s">
        <v>98</v>
      </c>
      <c r="B8" s="0" t="n">
        <f aca="false">COUNTIF(RawData!B2:B31,A8)</f>
        <v>4</v>
      </c>
    </row>
    <row r="9" customFormat="false" ht="15" hidden="false" customHeight="false" outlineLevel="0" collapsed="false">
      <c r="A9" s="0" t="s">
        <v>119</v>
      </c>
      <c r="B9" s="0" t="n">
        <f aca="false">COUNTIF(RawData!B2:B31,A9)</f>
        <v>4</v>
      </c>
    </row>
    <row r="10" customFormat="false" ht="15" hidden="false" customHeight="false" outlineLevel="0" collapsed="false">
      <c r="A10" s="4" t="s">
        <v>206</v>
      </c>
      <c r="B10" s="6" t="n">
        <f aca="false">COUNTIF(RawData!B2:B31,A10)</f>
        <v>0</v>
      </c>
    </row>
    <row r="11" customFormat="false" ht="15" hidden="false" customHeight="false" outlineLevel="0" collapsed="false">
      <c r="A11" s="5" t="s">
        <v>207</v>
      </c>
      <c r="B11" s="5" t="s">
        <v>204</v>
      </c>
    </row>
    <row r="12" customFormat="false" ht="15" hidden="false" customHeight="false" outlineLevel="0" collapsed="false">
      <c r="A12" s="0" t="s">
        <v>24</v>
      </c>
      <c r="B12" s="0" t="n">
        <f aca="false">COUNTIF(RawData!M2:M31,A12)</f>
        <v>23</v>
      </c>
    </row>
    <row r="13" customFormat="false" ht="15" hidden="false" customHeight="false" outlineLevel="0" collapsed="false">
      <c r="A13" s="0" t="s">
        <v>44</v>
      </c>
      <c r="B13" s="0" t="n">
        <f aca="false">COUNTIF(RawData!M2:M31,A13)</f>
        <v>4</v>
      </c>
    </row>
    <row r="14" customFormat="false" ht="15" hidden="false" customHeight="false" outlineLevel="0" collapsed="false">
      <c r="A14" s="0" t="s">
        <v>71</v>
      </c>
      <c r="B14" s="0" t="n">
        <f aca="false">COUNTIF(RawData!M2:M31,A14)</f>
        <v>3</v>
      </c>
    </row>
    <row r="16" customFormat="false" ht="15" hidden="false" customHeight="false" outlineLevel="0" collapsed="false">
      <c r="A16" s="4" t="s">
        <v>208</v>
      </c>
      <c r="B16" s="6" t="n">
        <f aca="false">COUNTA(RawData!A2:A31)</f>
        <v>30</v>
      </c>
    </row>
    <row r="17" customFormat="false" ht="15" hidden="false" customHeight="false" outlineLevel="0" collapsed="false">
      <c r="A17" s="4" t="s">
        <v>209</v>
      </c>
      <c r="B17" s="7" t="n">
        <f aca="false">COUNTIF(RawData!J2:J31,"Yes")/COUNTA(RawData!A2:A31)</f>
        <v>0.766666666666667</v>
      </c>
    </row>
    <row r="18" customFormat="false" ht="15" hidden="false" customHeight="false" outlineLevel="0" collapsed="false">
      <c r="A18" s="4" t="s">
        <v>210</v>
      </c>
      <c r="B18" s="7" t="n">
        <f aca="false">COUNTIF(RawData!M2:M31,"Accepted")/COUNTA(RawData!A2:A31)</f>
        <v>0.766666666666667</v>
      </c>
    </row>
    <row r="19" customFormat="false" ht="15" hidden="false" customHeight="false" outlineLevel="0" collapsed="false">
      <c r="A19" s="4" t="s">
        <v>211</v>
      </c>
      <c r="B19" s="6" t="n">
        <f aca="false">COUNTIF(RawData!L2:L31,"&gt;0")</f>
        <v>9</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2026-08-29T09:50:23Z</dcterms:created>
  <dc:creator>openpyxl</dc:creator>
  <dc:description/>
  <dc:language>en-US</dc:language>
  <cp:lastModifiedBy/>
  <dcterms:modified xsi:type="dcterms:W3CDTF">2026-08-29T09:50:25Z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